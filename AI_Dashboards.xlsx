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1fe4e6fc2ef9e082/Desktop/sanika/projectsssssssssssss/"/>
    </mc:Choice>
  </mc:AlternateContent>
  <xr:revisionPtr revIDLastSave="0" documentId="8_{5B6CA21D-F24A-42D7-B517-CC56A2C57613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AI_PivotTables" sheetId="3" r:id="rId1"/>
    <sheet name="AI_Dashboard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<sst xmlns="http://schemas.openxmlformats.org/spreadsheetml/2006/main" count="155" uniqueCount="90">
  <si>
    <t>Female</t>
  </si>
  <si>
    <t>DSL</t>
  </si>
  <si>
    <t>Month-to-month</t>
  </si>
  <si>
    <t>Electronic check</t>
  </si>
  <si>
    <t>0-1 yr</t>
  </si>
  <si>
    <t>Male</t>
  </si>
  <si>
    <t>One year</t>
  </si>
  <si>
    <t>Mailed check</t>
  </si>
  <si>
    <t>2-4 yr</t>
  </si>
  <si>
    <t>Fiber optic</t>
  </si>
  <si>
    <t>1-2 yr</t>
  </si>
  <si>
    <t>4-6 yr</t>
  </si>
  <si>
    <t>Two year</t>
  </si>
  <si>
    <t>Non-Senior</t>
  </si>
  <si>
    <t>Senior</t>
  </si>
  <si>
    <t xml:space="preserve">  PIVOT TABLES</t>
  </si>
  <si>
    <t xml:space="preserve">  All summary cross-tabulations used for analysis and charts</t>
  </si>
  <si>
    <t xml:space="preserve">  Churn by Contract Type</t>
  </si>
  <si>
    <t xml:space="preserve">  Churn by Tenure Group</t>
  </si>
  <si>
    <t>Contract Type</t>
  </si>
  <si>
    <t>Retained</t>
  </si>
  <si>
    <t>Churned</t>
  </si>
  <si>
    <t>Total</t>
  </si>
  <si>
    <t>Churn Rate</t>
  </si>
  <si>
    <t>Tenure Group</t>
  </si>
  <si>
    <t>TOTAL</t>
  </si>
  <si>
    <t xml:space="preserve">  Churn by Internet Service</t>
  </si>
  <si>
    <t>Internet Service</t>
  </si>
  <si>
    <t xml:space="preserve">  Churn by Gender</t>
  </si>
  <si>
    <t>Gender</t>
  </si>
  <si>
    <t>No internet</t>
  </si>
  <si>
    <t xml:space="preserve">  Churn by Payment Method</t>
  </si>
  <si>
    <t xml:space="preserve">  Churn by Senior Citizen Status</t>
  </si>
  <si>
    <t>Payment Method</t>
  </si>
  <si>
    <t>Segment</t>
  </si>
  <si>
    <t>Bank transfer (auto)</t>
  </si>
  <si>
    <t>Credit card (auto)</t>
  </si>
  <si>
    <t xml:space="preserve">  Churn by Paperless Billing</t>
  </si>
  <si>
    <t>Billing Type</t>
  </si>
  <si>
    <t>No Paperless</t>
  </si>
  <si>
    <t>Paperless</t>
  </si>
  <si>
    <t xml:space="preserve">  Avg Metrics: Churned vs Retained</t>
  </si>
  <si>
    <t>Avg Monthly ($)</t>
  </si>
  <si>
    <t>Avg Tenure (mo)</t>
  </si>
  <si>
    <t>Avg Total ($)</t>
  </si>
  <si>
    <t>Churned customers</t>
  </si>
  <si>
    <t>Retained customers</t>
  </si>
  <si>
    <t>All customers</t>
  </si>
  <si>
    <t>Churn %</t>
  </si>
  <si>
    <t>Bank transfer</t>
  </si>
  <si>
    <t>Credit card</t>
  </si>
  <si>
    <t>TOTAL CUSTOMERS</t>
  </si>
  <si>
    <t>CHURN RATE</t>
  </si>
  <si>
    <t>AVG TENURE</t>
  </si>
  <si>
    <t>TELECOM CUSTOMER CHURN  ·  ANALYSIS DASHBOARD</t>
  </si>
  <si>
    <t>Kaggle Telco Dataset  |  7,043 Customers  |  Data Cleaned &amp; Analyzed</t>
  </si>
  <si>
    <t>AVG MONTHLY CHARGE</t>
  </si>
  <si>
    <t>7,043</t>
  </si>
  <si>
    <t>26.54 %</t>
  </si>
  <si>
    <t>$ 64.76</t>
  </si>
  <si>
    <t>32.4 Mo</t>
  </si>
  <si>
    <t>👥 Telecom customers</t>
  </si>
  <si>
    <t>⚠️ Left the service</t>
  </si>
  <si>
    <t>💵 Per customer</t>
  </si>
  <si>
    <t>📅 Months with service</t>
  </si>
  <si>
    <t xml:space="preserve">  ▸  Churn by Contract Type</t>
  </si>
  <si>
    <t xml:space="preserve">  ▸  Churn by Internet Service</t>
  </si>
  <si>
    <t xml:space="preserve">  ▸  Churn by Payment Method</t>
  </si>
  <si>
    <t xml:space="preserve">  ▸  Churn by Tenure Band</t>
  </si>
  <si>
    <t>Monthly Avg by Segment</t>
  </si>
  <si>
    <t xml:space="preserve">  ▸  Revenue Impact Summary</t>
  </si>
  <si>
    <t xml:space="preserve">  ▸  Churn Rate by Contract Type (%)</t>
  </si>
  <si>
    <t xml:space="preserve">  ▸  Churn Rate by Payment Method (%)</t>
  </si>
  <si>
    <t xml:space="preserve">  ▸  Internet Service Distribution</t>
  </si>
  <si>
    <t xml:space="preserve">  ▸  Churn Rate Trend by Tenure (months)</t>
  </si>
  <si>
    <t>Churned vs Retained</t>
  </si>
  <si>
    <t>Senior vs Non-Senior</t>
  </si>
  <si>
    <t xml:space="preserve">  ▸  KEY INSIGHTS &amp; BUSINESS RECOMMENDATIONS</t>
  </si>
  <si>
    <t>🔴  HIGH RISK</t>
  </si>
  <si>
    <t>Month-to-month customers churn at 42.7% — nearly 15× higher than two-year holders (2.8%). Push annual contracts.</t>
  </si>
  <si>
    <t>🔴  PAYMENT FLAG</t>
  </si>
  <si>
    <t>Electronic check users churn at 45.3% — highest of all methods. Incentivise switching to auto-pay immediately.</t>
  </si>
  <si>
    <t>🟡  SERVICE ISSUE</t>
  </si>
  <si>
    <t>Fiber optic customers churn at 41.9% despite paying a premium. Investigate network quality &amp; customer service.</t>
  </si>
  <si>
    <t>🟡  SENIOR SEGMENT</t>
  </si>
  <si>
    <t>Senior citizens churn at 41.7% vs 23.6% for others. Dedicated senior retention plans could yield big gains.</t>
  </si>
  <si>
    <t>🟢  TENURE LOYALTY</t>
  </si>
  <si>
    <t>Customers beyond 49 months churn only 9.5%. Loyalty rewards at the 12-month mark may improve early retention.</t>
  </si>
  <si>
    <t>🟢  REVENUE IMPACT</t>
  </si>
  <si>
    <t>$139,131/month of recurring revenue is at risk from churned customers — representing 30.5% of total monthly revenue.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</si>
</sst>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0.0%"/>
  </numFmts>
  <fonts count="19" x14ac:knownFonts="1">
    <font>
      <sz val="11"/>
      <color theme="1"/>
      <name val="Calibri"/>
      <family val="2"/>
      <charset val="1"/>
    </font>
    <font>
      <b/>
      <sz val="15"/>
      <color rgb="FFFFFFFF"/>
      <name val="Arial"/>
      <charset val="1"/>
    </font>
    <font>
      <sz val="9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1E2A3A"/>
      <name val="Arial"/>
      <charset val="1"/>
    </font>
    <font>
      <b/>
      <sz val="10"/>
      <color rgb="FF1E2A3A"/>
      <name val="Arial"/>
      <charset val="1"/>
    </font>
    <font>
      <b/>
      <sz val="20"/>
      <color rgb="FFFFFFFF"/>
      <name val="Calibri"/>
      <family val="2"/>
    </font>
    <font>
      <i/>
      <sz val="9"/>
      <color rgb="FF89B4D8"/>
      <name val="Calibri"/>
      <family val="2"/>
    </font>
    <font>
      <b/>
      <sz val="8"/>
      <color rgb="FFD4E9F7"/>
      <name val="Calibri"/>
      <family val="2"/>
    </font>
    <font>
      <b/>
      <sz val="22"/>
      <color rgb="FFFFFFFF"/>
      <name val="Calibri"/>
      <family val="2"/>
    </font>
    <font>
      <i/>
      <sz val="8"/>
      <color rgb="FFD4E9F7"/>
      <name val="Calibri"/>
      <family val="2"/>
    </font>
    <font>
      <b/>
      <sz val="10"/>
      <color rgb="FFFFFFFF"/>
      <name val="Calibri"/>
      <family val="2"/>
    </font>
    <font>
      <b/>
      <sz val="9"/>
      <color theme="1"/>
      <name val="Arial"/>
      <family val="2"/>
    </font>
    <font>
      <sz val="9"/>
      <color rgb="FF1E2A3A"/>
      <name val="Arial"/>
      <family val="2"/>
    </font>
    <font>
      <sz val="9"/>
      <color theme="1"/>
      <name val="Arial"/>
      <family val="2"/>
    </font>
    <font>
      <b/>
      <sz val="9"/>
      <color rgb="FF1E3A5F"/>
      <name val="Calibri"/>
      <family val="2"/>
    </font>
    <font>
      <sz val="9"/>
      <color rgb="FF4A4A4A"/>
      <name val="Calibri"/>
      <family val="2"/>
    </font>
    <font>
      <i/>
      <sz val="8"/>
      <color rgb="FF999999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rgb="FF1E2A3A"/>
        <bgColor rgb="FF003366"/>
      </patternFill>
    </fill>
    <fill>
      <patternFill patternType="solid">
        <fgColor rgb="FFF4F6F9"/>
        <bgColor rgb="FFF9F9F9"/>
      </patternFill>
    </fill>
    <fill>
      <patternFill patternType="solid">
        <fgColor rgb="FF185FA5"/>
        <bgColor rgb="FF0F6E56"/>
      </patternFill>
    </fill>
    <fill>
      <patternFill patternType="solid">
        <fgColor rgb="FFE8ECF2"/>
        <bgColor rgb="FFF4F6F9"/>
      </patternFill>
    </fill>
    <fill>
      <patternFill patternType="solid">
        <fgColor theme="0"/>
        <bgColor rgb="FFF4F6F9"/>
      </patternFill>
    </fill>
    <fill>
      <patternFill patternType="solid">
        <fgColor theme="0"/>
        <bgColor rgb="FF0F6E56"/>
      </patternFill>
    </fill>
    <fill>
      <patternFill patternType="solid">
        <fgColor theme="0"/>
        <bgColor indexed="64"/>
      </patternFill>
    </fill>
    <fill>
      <patternFill patternType="solid">
        <fgColor rgb="FF1E3A5F"/>
      </patternFill>
    </fill>
    <fill>
      <patternFill patternType="solid">
        <fgColor rgb="FF2E6DA4"/>
      </patternFill>
    </fill>
    <fill>
      <patternFill patternType="solid">
        <fgColor rgb="FFC0392B"/>
      </patternFill>
    </fill>
    <fill>
      <patternFill patternType="solid">
        <fgColor rgb="FFE67E22"/>
      </patternFill>
    </fill>
    <fill>
      <patternFill patternType="solid">
        <fgColor rgb="FF27AE60"/>
      </patternFill>
    </fill>
    <fill>
      <patternFill patternType="solid">
        <fgColor theme="0"/>
        <bgColor rgb="FF003366"/>
      </patternFill>
    </fill>
    <fill>
      <patternFill patternType="solid">
        <fgColor rgb="FFF2F5FA"/>
      </patternFill>
    </fill>
    <fill>
      <patternFill patternType="solid">
        <fgColor rgb="FFFFFFFF"/>
      </patternFill>
    </fill>
    <fill>
      <patternFill patternType="solid">
        <fgColor theme="0"/>
        <bgColor rgb="FFF9F9F9"/>
      </patternFill>
    </fill>
    <fill>
      <patternFill patternType="solid">
        <fgColor theme="4" tint="0.59999389629810485"/>
        <bgColor rgb="FF003366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F9F9F9"/>
      </patternFill>
    </fill>
  </fills>
  <borders count="8">
    <border>
      <left/>
      <right/>
      <top/>
      <bottom/>
      <diagonal/>
    </border>
    <border>
      <left style="thin">
        <color rgb="FFC8D0DC"/>
      </left>
      <right style="thin">
        <color rgb="FFC8D0DC"/>
      </right>
      <top style="thin">
        <color rgb="FFC8D0DC"/>
      </top>
      <bottom style="thin">
        <color rgb="FFC8D0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rgb="FFBDC3C7"/>
      </right>
      <top style="thin">
        <color indexed="64"/>
      </top>
      <bottom style="thin">
        <color rgb="FFBDC3C7"/>
      </bottom>
      <diagonal/>
    </border>
    <border>
      <left style="thin">
        <color rgb="FFBDC3C7"/>
      </left>
      <right style="thin">
        <color indexed="64"/>
      </right>
      <top style="thin">
        <color indexed="64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indexed="64"/>
      </top>
      <bottom style="thin">
        <color rgb="FFBDC3C7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165" fontId="6" fillId="5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13" fillId="14" borderId="4" xfId="0" applyFont="1" applyFill="1" applyBorder="1" applyAlignment="1">
      <alignment horizontal="center" vertical="center"/>
    </xf>
    <xf numFmtId="0" fontId="13" fillId="14" borderId="0" xfId="0" applyFont="1" applyFill="1" applyAlignment="1">
      <alignment horizontal="center" vertical="center"/>
    </xf>
    <xf numFmtId="0" fontId="15" fillId="8" borderId="4" xfId="0" applyFont="1" applyFill="1" applyBorder="1" applyAlignment="1">
      <alignment horizontal="center" vertical="center"/>
    </xf>
    <xf numFmtId="165" fontId="15" fillId="8" borderId="0" xfId="0" applyNumberFormat="1" applyFont="1" applyFill="1" applyAlignment="1">
      <alignment horizontal="center" vertical="center"/>
    </xf>
    <xf numFmtId="0" fontId="15" fillId="17" borderId="4" xfId="0" applyFont="1" applyFill="1" applyBorder="1" applyAlignment="1">
      <alignment horizontal="center" vertical="center"/>
    </xf>
    <xf numFmtId="165" fontId="15" fillId="17" borderId="0" xfId="0" applyNumberFormat="1" applyFont="1" applyFill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4" fillId="19" borderId="2" xfId="0" applyFont="1" applyFill="1" applyBorder="1" applyAlignment="1">
      <alignment horizontal="center" vertical="center"/>
    </xf>
    <xf numFmtId="165" fontId="14" fillId="19" borderId="2" xfId="0" applyNumberFormat="1" applyFont="1" applyFill="1" applyBorder="1" applyAlignment="1">
      <alignment horizontal="center" vertical="center"/>
    </xf>
    <xf numFmtId="0" fontId="14" fillId="20" borderId="2" xfId="0" applyFont="1" applyFill="1" applyBorder="1" applyAlignment="1">
      <alignment horizontal="center" vertical="center"/>
    </xf>
    <xf numFmtId="165" fontId="14" fillId="20" borderId="2" xfId="0" applyNumberFormat="1" applyFont="1" applyFill="1" applyBorder="1" applyAlignment="1">
      <alignment horizontal="center" vertical="center"/>
    </xf>
    <xf numFmtId="0" fontId="15" fillId="20" borderId="2" xfId="0" applyFont="1" applyFill="1" applyBorder="1" applyAlignment="1">
      <alignment horizontal="center" vertical="center"/>
    </xf>
    <xf numFmtId="165" fontId="15" fillId="20" borderId="2" xfId="0" applyNumberFormat="1" applyFont="1" applyFill="1" applyBorder="1" applyAlignment="1">
      <alignment horizontal="center" vertical="center"/>
    </xf>
    <xf numFmtId="0" fontId="15" fillId="19" borderId="2" xfId="0" applyFont="1" applyFill="1" applyBorder="1" applyAlignment="1">
      <alignment horizontal="center" vertical="center"/>
    </xf>
    <xf numFmtId="165" fontId="15" fillId="19" borderId="2" xfId="0" applyNumberFormat="1" applyFont="1" applyFill="1" applyBorder="1" applyAlignment="1">
      <alignment horizontal="center" vertical="center"/>
    </xf>
    <xf numFmtId="0" fontId="13" fillId="18" borderId="3" xfId="0" applyFont="1" applyFill="1" applyBorder="1" applyAlignment="1">
      <alignment horizontal="center" vertical="center"/>
    </xf>
    <xf numFmtId="165" fontId="15" fillId="19" borderId="3" xfId="0" applyNumberFormat="1" applyFont="1" applyFill="1" applyBorder="1" applyAlignment="1">
      <alignment horizontal="center" vertical="center"/>
    </xf>
    <xf numFmtId="165" fontId="15" fillId="20" borderId="3" xfId="0" applyNumberFormat="1" applyFont="1" applyFill="1" applyBorder="1" applyAlignment="1">
      <alignment horizontal="center" vertical="center"/>
    </xf>
    <xf numFmtId="0" fontId="16" fillId="8" borderId="0" xfId="0" applyFont="1" applyFill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6" fillId="8" borderId="4" xfId="0" applyFont="1" applyFill="1" applyBorder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164" fontId="15" fillId="19" borderId="3" xfId="0" applyNumberFormat="1" applyFont="1" applyFill="1" applyBorder="1" applyAlignment="1">
      <alignment horizontal="center" vertical="center"/>
    </xf>
    <xf numFmtId="164" fontId="15" fillId="20" borderId="3" xfId="0" applyNumberFormat="1" applyFont="1" applyFill="1" applyBorder="1" applyAlignment="1">
      <alignment horizontal="center" vertical="center"/>
    </xf>
    <xf numFmtId="0" fontId="17" fillId="8" borderId="5" xfId="0" applyFont="1" applyFill="1" applyBorder="1" applyAlignment="1">
      <alignment horizontal="center" vertical="center"/>
    </xf>
    <xf numFmtId="0" fontId="17" fillId="8" borderId="6" xfId="0" applyFont="1" applyFill="1" applyBorder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" fillId="7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4" fillId="7" borderId="0" xfId="0" applyFont="1" applyFill="1" applyAlignment="1">
      <alignment horizontal="center" vertical="center"/>
    </xf>
    <xf numFmtId="0" fontId="5" fillId="17" borderId="0" xfId="0" applyFont="1" applyFill="1" applyAlignment="1">
      <alignment horizontal="center" vertical="center"/>
    </xf>
    <xf numFmtId="164" fontId="5" fillId="17" borderId="0" xfId="0" applyNumberFormat="1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164" fontId="5" fillId="8" borderId="0" xfId="0" applyNumberFormat="1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164" fontId="6" fillId="6" borderId="0" xfId="0" applyNumberFormat="1" applyFont="1" applyFill="1" applyAlignment="1">
      <alignment horizontal="center" vertical="center"/>
    </xf>
    <xf numFmtId="0" fontId="16" fillId="15" borderId="2" xfId="0" applyFont="1" applyFill="1" applyBorder="1" applyAlignment="1">
      <alignment horizontal="left" vertical="center" wrapText="1"/>
    </xf>
    <xf numFmtId="0" fontId="0" fillId="0" borderId="2" xfId="0" applyBorder="1"/>
    <xf numFmtId="0" fontId="17" fillId="15" borderId="2" xfId="0" applyFont="1" applyFill="1" applyBorder="1" applyAlignment="1">
      <alignment horizontal="left" vertical="center" wrapText="1"/>
    </xf>
    <xf numFmtId="0" fontId="16" fillId="16" borderId="2" xfId="0" applyFont="1" applyFill="1" applyBorder="1" applyAlignment="1">
      <alignment horizontal="left" vertical="center" wrapText="1"/>
    </xf>
    <xf numFmtId="0" fontId="17" fillId="16" borderId="2" xfId="0" applyFont="1" applyFill="1" applyBorder="1" applyAlignment="1">
      <alignment horizontal="left" vertical="center" wrapText="1"/>
    </xf>
    <xf numFmtId="0" fontId="18" fillId="0" borderId="0" xfId="0" applyFont="1" applyAlignment="1">
      <alignment horizontal="center" vertical="center"/>
    </xf>
    <xf numFmtId="0" fontId="0" fillId="0" borderId="0" xfId="0"/>
    <xf numFmtId="0" fontId="12" fillId="10" borderId="0" xfId="0" applyFont="1" applyFill="1" applyAlignment="1">
      <alignment horizontal="left" vertical="center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10" fillId="10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center" vertical="center"/>
    </xf>
    <xf numFmtId="0" fontId="11" fillId="13" borderId="0" xfId="0" applyFont="1" applyFill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9" fillId="1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B6D11"/>
      <rgbColor rgb="FF000080"/>
      <rgbColor rgb="FFBA7517"/>
      <rgbColor rgb="FF800080"/>
      <rgbColor rgb="FF0F6E56"/>
      <rgbColor rgb="FFD9D9D9"/>
      <rgbColor rgb="FF878787"/>
      <rgbColor rgb="FF9999FF"/>
      <rgbColor rgb="FF993366"/>
      <rgbColor rgb="FFF9F9F9"/>
      <rgbColor rgb="FFE8ECF2"/>
      <rgbColor rgb="FF660066"/>
      <rgbColor rgb="FFFF8080"/>
      <rgbColor rgb="FF185FA5"/>
      <rgbColor rgb="FFC8D0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24B4A"/>
      <rgbColor rgb="FF534AB7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6600"/>
      <color rgb="FFFF3300"/>
      <color rgb="FFFF0066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Churn by Contract Type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none" anchor="ctr" anchorCtr="1"/>
              <a:lstStyle/>
              <a:p>
                <a:pPr>
                  <a:defRPr sz="1000" b="0" i="0" u="none" strike="noStrike" kern="1200" spc="-1" baseline="0">
                    <a:solidFill>
                      <a:schemeClr val="tx1"/>
                    </a:solidFill>
                    <a:latin typeface="Arial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BBCC-4296-87A8-B8EAB65E79A6}"/>
            </c:ext>
          </c:extLst>
        </c:ser>
        <c:ser>
          <c:idx val="1"/>
          <c:order val="1"/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none" anchor="ctr" anchorCtr="1"/>
              <a:lstStyle/>
              <a:p>
                <a:pPr>
                  <a:defRPr sz="1000" b="0" i="0" u="none" strike="noStrike" kern="1200" spc="-1" baseline="0">
                    <a:solidFill>
                      <a:schemeClr val="tx1"/>
                    </a:solidFill>
                    <a:latin typeface="Arial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BBCC-4296-87A8-B8EAB65E79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00441"/>
        <c:axId val="18405929"/>
      </c:barChart>
      <c:catAx>
        <c:axId val="22004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endParaRPr lang="en-US"/>
          </a:p>
        </c:txPr>
        <c:crossAx val="18405929"/>
        <c:crosses val="autoZero"/>
        <c:auto val="1"/>
        <c:lblAlgn val="ctr"/>
        <c:lblOffset val="100"/>
        <c:noMultiLvlLbl val="0"/>
      </c:catAx>
      <c:valAx>
        <c:axId val="18405929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Customers</a:t>
                </a:r>
              </a:p>
            </c:rich>
          </c:tx>
          <c:overlay val="0"/>
          <c:spPr>
            <a:noFill/>
            <a:ln w="0"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spc="-1" baseline="0">
                  <a:solidFill>
                    <a:srgbClr val="000000"/>
                  </a:solidFill>
                  <a:latin typeface="Calibri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endParaRPr lang="en-US"/>
          </a:p>
        </c:txPr>
        <c:crossAx val="2200441"/>
        <c:crosses val="autoZero"/>
        <c:crossBetween val="between"/>
      </c:valAx>
      <c:spPr>
        <a:noFill/>
        <a:ln w="0">
          <a:noFill/>
        </a:ln>
        <a:effectLst/>
      </c:spPr>
    </c:plotArea>
    <c:legend>
      <c:legendPos val="r"/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accent1">
        <a:lumMod val="40000"/>
        <a:lumOff val="60000"/>
      </a:schemeClr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Churn by Internet Service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none" anchor="ctr" anchorCtr="1"/>
              <a:lstStyle/>
              <a:p>
                <a:pPr>
                  <a:defRPr sz="1000" b="0" i="0" u="none" strike="noStrike" kern="1200" spc="-1" baseline="0">
                    <a:solidFill>
                      <a:schemeClr val="tx1"/>
                    </a:solidFill>
                    <a:latin typeface="Arial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D0EC-4319-81A0-8E4BBC7D32C0}"/>
            </c:ext>
          </c:extLst>
        </c:ser>
        <c:ser>
          <c:idx val="1"/>
          <c:order val="1"/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none" anchor="ctr" anchorCtr="1"/>
              <a:lstStyle/>
              <a:p>
                <a:pPr>
                  <a:defRPr sz="1000" b="0" i="0" u="none" strike="noStrike" kern="1200" spc="-1" baseline="0">
                    <a:solidFill>
                      <a:schemeClr val="tx1"/>
                    </a:solidFill>
                    <a:latin typeface="Arial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D0EC-4319-81A0-8E4BBC7D3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687659"/>
        <c:axId val="84098779"/>
      </c:barChart>
      <c:catAx>
        <c:axId val="286876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endParaRPr lang="en-US"/>
          </a:p>
        </c:txPr>
        <c:crossAx val="84098779"/>
        <c:crosses val="autoZero"/>
        <c:auto val="1"/>
        <c:lblAlgn val="ctr"/>
        <c:lblOffset val="100"/>
        <c:noMultiLvlLbl val="0"/>
      </c:catAx>
      <c:valAx>
        <c:axId val="84098779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Customers</a:t>
                </a:r>
              </a:p>
            </c:rich>
          </c:tx>
          <c:overlay val="0"/>
          <c:spPr>
            <a:noFill/>
            <a:ln w="0"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spc="-1" baseline="0">
                  <a:solidFill>
                    <a:srgbClr val="000000"/>
                  </a:solidFill>
                  <a:latin typeface="Calibri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endParaRPr lang="en-US"/>
          </a:p>
        </c:txPr>
        <c:crossAx val="28687659"/>
        <c:crosses val="autoZero"/>
        <c:crossBetween val="between"/>
      </c:valAx>
      <c:spPr>
        <a:noFill/>
        <a:ln w="0">
          <a:noFill/>
        </a:ln>
        <a:effectLst/>
      </c:spPr>
    </c:plotArea>
    <c:legend>
      <c:legendPos val="r"/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accent1">
        <a:lumMod val="40000"/>
        <a:lumOff val="60000"/>
      </a:schemeClr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Churned by Payment Method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none" anchor="ctr" anchorCtr="1"/>
              <a:lstStyle/>
              <a:p>
                <a:pPr>
                  <a:defRPr sz="1000" b="0" i="0" u="none" strike="noStrike" kern="1200" spc="-1" baseline="0">
                    <a:solidFill>
                      <a:schemeClr val="tx1"/>
                    </a:solidFill>
                    <a:latin typeface="Arial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0E34-4012-A264-414F6E813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232335"/>
        <c:axId val="78870526"/>
      </c:barChart>
      <c:catAx>
        <c:axId val="9223233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Churned Customers</a:t>
                </a:r>
              </a:p>
            </c:rich>
          </c:tx>
          <c:overlay val="0"/>
          <c:spPr>
            <a:noFill/>
            <a:ln w="0"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spc="-1" baseline="0">
                  <a:solidFill>
                    <a:srgbClr val="000000"/>
                  </a:solidFill>
                  <a:latin typeface="Calibri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endParaRPr lang="en-US"/>
          </a:p>
        </c:txPr>
        <c:crossAx val="78870526"/>
        <c:crosses val="autoZero"/>
        <c:auto val="1"/>
        <c:lblAlgn val="ctr"/>
        <c:lblOffset val="100"/>
        <c:noMultiLvlLbl val="0"/>
      </c:catAx>
      <c:valAx>
        <c:axId val="78870526"/>
        <c:scaling>
          <c:orientation val="minMax"/>
        </c:scaling>
        <c:delete val="0"/>
        <c:axPos val="b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endParaRPr lang="en-US"/>
          </a:p>
        </c:txPr>
        <c:crossAx val="92232335"/>
        <c:crosses val="autoZero"/>
        <c:crossBetween val="between"/>
      </c:valAx>
      <c:spPr>
        <a:noFill/>
        <a:ln w="0">
          <a:noFill/>
        </a:ln>
        <a:effectLst/>
      </c:spPr>
    </c:plotArea>
    <c:legend>
      <c:legendPos val="r"/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accent1">
        <a:lumMod val="40000"/>
        <a:lumOff val="60000"/>
      </a:schemeClr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Churn Rate by Tenure Group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 algn="ctr">
              <a:prstDash val="solid"/>
              <a:round/>
            </a:ln>
            <a:effectLst/>
          </c:spPr>
          <c:marker>
            <c:symbol val="circle"/>
            <c:size val="8"/>
            <c:spPr>
              <a:solidFill>
                <a:schemeClr val="accent1"/>
              </a:solidFill>
              <a:ln w="9525" cap="flat" cmpd="sng" algn="ctr">
                <a:prstDash val="solid"/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none" anchor="ctr" anchorCtr="1"/>
              <a:lstStyle/>
              <a:p>
                <a:pPr>
                  <a:defRPr sz="1000" b="0" i="0" u="none" strike="noStrike" kern="1200" spc="-1" baseline="0">
                    <a:solidFill>
                      <a:schemeClr val="tx1"/>
                    </a:solidFill>
                    <a:latin typeface="Arial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BEDF-47EB-A37A-CE68092CC6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 cap="flat" cmpd="sng" algn="ctr">
              <a:noFill/>
              <a:prstDash val="solid"/>
              <a:round/>
            </a:ln>
            <a:effectLst/>
          </c:spPr>
        </c:hiLowLines>
        <c:marker val="1"/>
        <c:smooth val="0"/>
        <c:axId val="298322"/>
        <c:axId val="16466942"/>
      </c:lineChart>
      <c:catAx>
        <c:axId val="2983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endParaRPr lang="en-US"/>
          </a:p>
        </c:txPr>
        <c:crossAx val="16466942"/>
        <c:crosses val="autoZero"/>
        <c:auto val="1"/>
        <c:lblAlgn val="ctr"/>
        <c:lblOffset val="100"/>
        <c:noMultiLvlLbl val="0"/>
      </c:catAx>
      <c:valAx>
        <c:axId val="16466942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Churn Rate</a:t>
                </a:r>
              </a:p>
            </c:rich>
          </c:tx>
          <c:overlay val="0"/>
          <c:spPr>
            <a:noFill/>
            <a:ln w="0"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spc="-1" baseline="0">
                  <a:solidFill>
                    <a:srgbClr val="000000"/>
                  </a:solidFill>
                  <a:latin typeface="Calibri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endParaRPr lang="en-US"/>
          </a:p>
        </c:txPr>
        <c:crossAx val="298322"/>
        <c:crosses val="autoZero"/>
        <c:crossBetween val="between"/>
      </c:valAx>
      <c:spPr>
        <a:noFill/>
        <a:ln w="0">
          <a:noFill/>
        </a:ln>
        <a:effectLst/>
      </c:spPr>
    </c:plotArea>
    <c:legend>
      <c:legendPos val="r"/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accent1">
        <a:lumMod val="40000"/>
        <a:lumOff val="60000"/>
      </a:schemeClr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Avg Monthly Charge: Churned vs Retained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none" anchor="ctr" anchorCtr="1"/>
              <a:lstStyle/>
              <a:p>
                <a:pPr>
                  <a:defRPr sz="1000" b="0" i="0" u="none" strike="noStrike" kern="1200" spc="-1" baseline="0">
                    <a:solidFill>
                      <a:schemeClr val="tx1"/>
                    </a:solidFill>
                    <a:latin typeface="Arial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B2FC-4ED7-8585-2DD409CA6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266989"/>
        <c:axId val="23560421"/>
      </c:barChart>
      <c:catAx>
        <c:axId val="462669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endParaRPr lang="en-US"/>
          </a:p>
        </c:txPr>
        <c:crossAx val="23560421"/>
        <c:crosses val="autoZero"/>
        <c:auto val="1"/>
        <c:lblAlgn val="ctr"/>
        <c:lblOffset val="100"/>
        <c:noMultiLvlLbl val="0"/>
      </c:catAx>
      <c:valAx>
        <c:axId val="23560421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USD ($)</a:t>
                </a:r>
              </a:p>
            </c:rich>
          </c:tx>
          <c:overlay val="0"/>
          <c:spPr>
            <a:noFill/>
            <a:ln w="0"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spc="-1" baseline="0">
                  <a:solidFill>
                    <a:srgbClr val="000000"/>
                  </a:solidFill>
                  <a:latin typeface="Calibri"/>
                  <a:ea typeface="+mn-ea"/>
                  <a:cs typeface="+mn-cs"/>
                </a:defRPr>
              </a:pPr>
              <a:endParaRPr lang="en-US"/>
            </a:p>
          </c:txPr>
        </c:title>
        <c:numFmt formatCode="\$#,##0" sourceLinked="0"/>
        <c:majorTickMark val="none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endParaRPr lang="en-US"/>
          </a:p>
        </c:txPr>
        <c:crossAx val="46266989"/>
        <c:crosses val="autoZero"/>
        <c:crossBetween val="between"/>
      </c:valAx>
      <c:spPr>
        <a:noFill/>
        <a:ln w="0">
          <a:noFill/>
        </a:ln>
        <a:effectLst/>
      </c:spPr>
    </c:plotArea>
    <c:legend>
      <c:legendPos val="r"/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accent1">
        <a:lumMod val="40000"/>
        <a:lumOff val="60000"/>
      </a:schemeClr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Senior vs Non-Senior: Churned vs Retained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none" anchor="ctr" anchorCtr="1"/>
              <a:lstStyle/>
              <a:p>
                <a:pPr>
                  <a:defRPr sz="1000" b="0" i="0" u="none" strike="noStrike" kern="1200" spc="-1" baseline="0">
                    <a:solidFill>
                      <a:schemeClr val="tx1"/>
                    </a:solidFill>
                    <a:latin typeface="Arial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F285-43C4-8FE7-82E61273BA1E}"/>
            </c:ext>
          </c:extLst>
        </c:ser>
        <c:ser>
          <c:idx val="1"/>
          <c:order val="1"/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none" anchor="ctr" anchorCtr="1"/>
              <a:lstStyle/>
              <a:p>
                <a:pPr>
                  <a:defRPr sz="1000" b="0" i="0" u="none" strike="noStrike" kern="1200" spc="-1" baseline="0">
                    <a:solidFill>
                      <a:schemeClr val="tx1"/>
                    </a:solidFill>
                    <a:latin typeface="Arial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F285-43C4-8FE7-82E61273BA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898998"/>
        <c:axId val="15723208"/>
      </c:barChart>
      <c:catAx>
        <c:axId val="798989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endParaRPr lang="en-US"/>
          </a:p>
        </c:txPr>
        <c:crossAx val="15723208"/>
        <c:crosses val="autoZero"/>
        <c:auto val="1"/>
        <c:lblAlgn val="ctr"/>
        <c:lblOffset val="100"/>
        <c:noMultiLvlLbl val="0"/>
      </c:catAx>
      <c:valAx>
        <c:axId val="15723208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Customers</a:t>
                </a:r>
              </a:p>
            </c:rich>
          </c:tx>
          <c:overlay val="0"/>
          <c:spPr>
            <a:noFill/>
            <a:ln w="0"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spc="-1" baseline="0">
                  <a:solidFill>
                    <a:srgbClr val="000000"/>
                  </a:solidFill>
                  <a:latin typeface="Calibri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360" cap="flat" cmpd="sng" algn="ctr">
            <a:solidFill>
              <a:srgbClr val="878787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endParaRPr lang="en-US"/>
          </a:p>
        </c:txPr>
        <c:crossAx val="79898998"/>
        <c:crosses val="autoZero"/>
        <c:crossBetween val="between"/>
      </c:valAx>
      <c:spPr>
        <a:noFill/>
        <a:ln w="0">
          <a:noFill/>
        </a:ln>
        <a:effectLst/>
      </c:spPr>
    </c:plotArea>
    <c:legend>
      <c:legendPos val="r"/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accent1">
        <a:lumMod val="40000"/>
        <a:lumOff val="60000"/>
      </a:schemeClr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84876</xdr:colOff>
      <xdr:row>33</xdr:row>
      <xdr:rowOff>179183</xdr:rowOff>
    </xdr:from>
    <xdr:to>
      <xdr:col>5</xdr:col>
      <xdr:colOff>9431</xdr:colOff>
      <xdr:row>50</xdr:row>
      <xdr:rowOff>179182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EC48A9-0448-4D42-9AAF-F8546C4D2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84877</xdr:colOff>
      <xdr:row>53</xdr:row>
      <xdr:rowOff>169752</xdr:rowOff>
    </xdr:from>
    <xdr:to>
      <xdr:col>5</xdr:col>
      <xdr:colOff>1</xdr:colOff>
      <xdr:row>70</xdr:row>
      <xdr:rowOff>169752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673CCAA-6B3C-401B-A84F-15F1BB7CD8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132028</xdr:colOff>
      <xdr:row>34</xdr:row>
      <xdr:rowOff>9431</xdr:rowOff>
    </xdr:from>
    <xdr:to>
      <xdr:col>10</xdr:col>
      <xdr:colOff>0</xdr:colOff>
      <xdr:row>50</xdr:row>
      <xdr:rowOff>188783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343C5C3-DFB9-438A-A4F8-012827D878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9431</xdr:colOff>
      <xdr:row>54</xdr:row>
      <xdr:rowOff>18862</xdr:rowOff>
    </xdr:from>
    <xdr:to>
      <xdr:col>9</xdr:col>
      <xdr:colOff>1310866</xdr:colOff>
      <xdr:row>71</xdr:row>
      <xdr:rowOff>56584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424E173-0EDD-4789-B3AD-821C9B98DE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9432</xdr:colOff>
      <xdr:row>74</xdr:row>
      <xdr:rowOff>18861</xdr:rowOff>
    </xdr:from>
    <xdr:to>
      <xdr:col>4</xdr:col>
      <xdr:colOff>924208</xdr:colOff>
      <xdr:row>91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87FAB4E-4B1B-44A9-9F20-D802347AE7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1</xdr:colOff>
      <xdr:row>73</xdr:row>
      <xdr:rowOff>188613</xdr:rowOff>
    </xdr:from>
    <xdr:to>
      <xdr:col>9</xdr:col>
      <xdr:colOff>1329727</xdr:colOff>
      <xdr:row>91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D8AC79C-45B5-4478-910E-8F3D2DEE8B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T35"/>
  <sheetViews>
    <sheetView showGridLines="0" tabSelected="1" zoomScale="83" zoomScaleNormal="100" workbookViewId="0">
      <selection activeCell="I25" sqref="I25"/>
    </sheetView>
  </sheetViews>
  <sheetFormatPr defaultColWidth="8.7109375" defaultRowHeight="15" x14ac:dyDescent="0.25"/>
  <cols>
    <col min="1" max="1" width="1.5703125" customWidth="1"/>
    <col min="2" max="2" width="22" customWidth="1"/>
    <col min="3" max="3" width="12" customWidth="1"/>
    <col min="4" max="4" width="11" customWidth="1"/>
    <col min="5" max="5" width="10" customWidth="1"/>
    <col min="6" max="6" width="12" customWidth="1"/>
    <col min="7" max="8" width="4" customWidth="1"/>
    <col min="9" max="9" width="24" customWidth="1"/>
    <col min="10" max="10" width="12" customWidth="1"/>
    <col min="11" max="11" width="11" customWidth="1"/>
    <col min="12" max="12" width="10" customWidth="1"/>
    <col min="13" max="13" width="12" customWidth="1"/>
  </cols>
  <sheetData>
    <row r="1" spans="2:20" ht="36" customHeight="1" x14ac:dyDescent="0.25">
      <c r="B1" s="80" t="s">
        <v>15</v>
      </c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44"/>
      <c r="O1" s="44"/>
      <c r="P1" s="44"/>
      <c r="Q1" s="44"/>
      <c r="R1" s="44"/>
      <c r="S1" s="44"/>
      <c r="T1" s="44"/>
    </row>
    <row r="2" spans="2:20" ht="19.5" customHeight="1" x14ac:dyDescent="0.25">
      <c r="B2" s="81" t="s">
        <v>16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45"/>
      <c r="O2" s="45"/>
      <c r="P2" s="45"/>
      <c r="Q2" s="45"/>
      <c r="R2" s="45"/>
      <c r="S2" s="45"/>
      <c r="T2" s="45"/>
    </row>
    <row r="3" spans="2:20" ht="9.75" customHeight="1" x14ac:dyDescent="0.25"/>
    <row r="4" spans="2:20" ht="24" customHeight="1" x14ac:dyDescent="0.25">
      <c r="B4" s="79" t="s">
        <v>17</v>
      </c>
      <c r="C4" s="79"/>
      <c r="D4" s="79"/>
      <c r="E4" s="79"/>
      <c r="F4" s="79"/>
      <c r="I4" s="79" t="s">
        <v>18</v>
      </c>
      <c r="J4" s="79"/>
      <c r="K4" s="79"/>
      <c r="L4" s="79"/>
      <c r="M4" s="79"/>
    </row>
    <row r="5" spans="2:20" x14ac:dyDescent="0.25">
      <c r="B5" s="1" t="s">
        <v>19</v>
      </c>
      <c r="C5" s="1" t="s">
        <v>20</v>
      </c>
      <c r="D5" s="1" t="s">
        <v>21</v>
      </c>
      <c r="E5" s="1" t="s">
        <v>22</v>
      </c>
      <c r="F5" s="1" t="s">
        <v>23</v>
      </c>
      <c r="I5" s="1" t="s">
        <v>24</v>
      </c>
      <c r="J5" s="1" t="s">
        <v>20</v>
      </c>
      <c r="K5" s="1" t="s">
        <v>21</v>
      </c>
      <c r="L5" s="1" t="s">
        <v>22</v>
      </c>
      <c r="M5" s="1" t="s">
        <v>23</v>
      </c>
    </row>
    <row r="6" spans="2:20" x14ac:dyDescent="0.25">
      <c r="B6" s="2" t="s">
        <v>2</v>
      </c>
      <c r="C6" s="2">
        <v>2220</v>
      </c>
      <c r="D6" s="2">
        <v>1655</v>
      </c>
      <c r="E6" s="2">
        <v>3875</v>
      </c>
      <c r="F6" s="3">
        <v>0.42699999999999999</v>
      </c>
      <c r="I6" s="2" t="s">
        <v>4</v>
      </c>
      <c r="J6" s="2">
        <v>1138</v>
      </c>
      <c r="K6" s="2">
        <v>1037</v>
      </c>
      <c r="L6" s="2">
        <v>2175</v>
      </c>
      <c r="M6" s="3">
        <v>0.47699999999999998</v>
      </c>
    </row>
    <row r="7" spans="2:20" x14ac:dyDescent="0.25">
      <c r="B7" s="4" t="s">
        <v>6</v>
      </c>
      <c r="C7" s="4">
        <v>1307</v>
      </c>
      <c r="D7" s="4">
        <v>166</v>
      </c>
      <c r="E7" s="4">
        <v>1473</v>
      </c>
      <c r="F7" s="5">
        <v>0.113</v>
      </c>
      <c r="I7" s="4" t="s">
        <v>10</v>
      </c>
      <c r="J7" s="4">
        <v>730</v>
      </c>
      <c r="K7" s="4">
        <v>294</v>
      </c>
      <c r="L7" s="4">
        <v>1024</v>
      </c>
      <c r="M7" s="5">
        <v>0.28699999999999998</v>
      </c>
    </row>
    <row r="8" spans="2:20" x14ac:dyDescent="0.25">
      <c r="B8" s="2" t="s">
        <v>12</v>
      </c>
      <c r="C8" s="2">
        <v>1647</v>
      </c>
      <c r="D8" s="2">
        <v>48</v>
      </c>
      <c r="E8" s="2">
        <v>1695</v>
      </c>
      <c r="F8" s="3">
        <v>2.8000000000000001E-2</v>
      </c>
      <c r="I8" s="2" t="s">
        <v>8</v>
      </c>
      <c r="J8" s="2">
        <v>1269</v>
      </c>
      <c r="K8" s="2">
        <v>325</v>
      </c>
      <c r="L8" s="2">
        <v>1594</v>
      </c>
      <c r="M8" s="3">
        <v>0.20399999999999999</v>
      </c>
    </row>
    <row r="9" spans="2:20" x14ac:dyDescent="0.25">
      <c r="B9" s="6" t="s">
        <v>25</v>
      </c>
      <c r="C9" s="6">
        <v>5174</v>
      </c>
      <c r="D9" s="6">
        <v>1869</v>
      </c>
      <c r="E9" s="6">
        <v>7043</v>
      </c>
      <c r="F9" s="7">
        <v>0.26500000000000001</v>
      </c>
      <c r="I9" s="4" t="s">
        <v>11</v>
      </c>
      <c r="J9" s="4">
        <v>2026</v>
      </c>
      <c r="K9" s="4">
        <v>213</v>
      </c>
      <c r="L9" s="4">
        <v>2239</v>
      </c>
      <c r="M9" s="5">
        <v>9.5000000000000001E-2</v>
      </c>
    </row>
    <row r="10" spans="2:20" x14ac:dyDescent="0.25">
      <c r="I10" s="6" t="s">
        <v>25</v>
      </c>
      <c r="J10" s="6">
        <v>5174</v>
      </c>
      <c r="K10" s="6">
        <v>1869</v>
      </c>
      <c r="L10" s="6">
        <v>7043</v>
      </c>
      <c r="M10" s="7">
        <v>0.26500000000000001</v>
      </c>
    </row>
    <row r="11" spans="2:20" ht="24" customHeight="1" x14ac:dyDescent="0.25">
      <c r="B11" s="79" t="s">
        <v>26</v>
      </c>
      <c r="C11" s="79"/>
      <c r="D11" s="79"/>
      <c r="E11" s="79"/>
      <c r="F11" s="79"/>
    </row>
    <row r="12" spans="2:20" ht="24" customHeight="1" x14ac:dyDescent="0.25">
      <c r="B12" s="1" t="s">
        <v>27</v>
      </c>
      <c r="C12" s="1" t="s">
        <v>20</v>
      </c>
      <c r="D12" s="1" t="s">
        <v>21</v>
      </c>
      <c r="E12" s="1" t="s">
        <v>22</v>
      </c>
      <c r="F12" s="1" t="s">
        <v>23</v>
      </c>
      <c r="I12" s="79" t="s">
        <v>28</v>
      </c>
      <c r="J12" s="79"/>
      <c r="K12" s="79"/>
      <c r="L12" s="79"/>
      <c r="M12" s="79"/>
    </row>
    <row r="13" spans="2:20" x14ac:dyDescent="0.25">
      <c r="B13" s="4" t="s">
        <v>1</v>
      </c>
      <c r="C13" s="4">
        <v>1962</v>
      </c>
      <c r="D13" s="4">
        <v>459</v>
      </c>
      <c r="E13" s="4">
        <v>2421</v>
      </c>
      <c r="F13" s="5">
        <v>0.19</v>
      </c>
      <c r="I13" s="1" t="s">
        <v>29</v>
      </c>
      <c r="J13" s="1" t="s">
        <v>20</v>
      </c>
      <c r="K13" s="1" t="s">
        <v>21</v>
      </c>
      <c r="L13" s="1" t="s">
        <v>22</v>
      </c>
      <c r="M13" s="1" t="s">
        <v>23</v>
      </c>
    </row>
    <row r="14" spans="2:20" x14ac:dyDescent="0.25">
      <c r="B14" s="2" t="s">
        <v>9</v>
      </c>
      <c r="C14" s="2">
        <v>1799</v>
      </c>
      <c r="D14" s="2">
        <v>1297</v>
      </c>
      <c r="E14" s="2">
        <v>3096</v>
      </c>
      <c r="F14" s="3">
        <v>0.41899999999999998</v>
      </c>
      <c r="I14" s="2" t="s">
        <v>0</v>
      </c>
      <c r="J14" s="2">
        <v>2549</v>
      </c>
      <c r="K14" s="2">
        <v>939</v>
      </c>
      <c r="L14" s="2">
        <v>3488</v>
      </c>
      <c r="M14" s="3">
        <v>0.26900000000000002</v>
      </c>
    </row>
    <row r="15" spans="2:20" x14ac:dyDescent="0.25">
      <c r="B15" s="4" t="s">
        <v>30</v>
      </c>
      <c r="C15" s="4">
        <v>1413</v>
      </c>
      <c r="D15" s="4">
        <v>113</v>
      </c>
      <c r="E15" s="4">
        <v>1526</v>
      </c>
      <c r="F15" s="5">
        <v>7.3999999999999996E-2</v>
      </c>
      <c r="I15" s="4" t="s">
        <v>5</v>
      </c>
      <c r="J15" s="4">
        <v>2625</v>
      </c>
      <c r="K15" s="4">
        <v>930</v>
      </c>
      <c r="L15" s="4">
        <v>3555</v>
      </c>
      <c r="M15" s="5">
        <v>0.26200000000000001</v>
      </c>
    </row>
    <row r="16" spans="2:20" x14ac:dyDescent="0.25">
      <c r="B16" s="6" t="s">
        <v>25</v>
      </c>
      <c r="C16" s="6">
        <v>5174</v>
      </c>
      <c r="D16" s="6">
        <v>1869</v>
      </c>
      <c r="E16" s="6">
        <v>7043</v>
      </c>
      <c r="F16" s="7">
        <v>0.26500000000000001</v>
      </c>
      <c r="I16" s="6" t="s">
        <v>25</v>
      </c>
      <c r="J16" s="6">
        <v>5174</v>
      </c>
      <c r="K16" s="6">
        <v>1869</v>
      </c>
      <c r="L16" s="6">
        <v>7043</v>
      </c>
      <c r="M16" s="7">
        <v>0.26500000000000001</v>
      </c>
    </row>
    <row r="18" spans="2:13" ht="24" customHeight="1" x14ac:dyDescent="0.25">
      <c r="B18" s="79" t="s">
        <v>31</v>
      </c>
      <c r="C18" s="79"/>
      <c r="D18" s="79"/>
      <c r="E18" s="79"/>
      <c r="F18" s="79"/>
      <c r="I18" s="79" t="s">
        <v>32</v>
      </c>
      <c r="J18" s="79"/>
      <c r="K18" s="79"/>
      <c r="L18" s="79"/>
      <c r="M18" s="79"/>
    </row>
    <row r="19" spans="2:13" x14ac:dyDescent="0.25">
      <c r="B19" s="1" t="s">
        <v>33</v>
      </c>
      <c r="C19" s="1" t="s">
        <v>20</v>
      </c>
      <c r="D19" s="1" t="s">
        <v>21</v>
      </c>
      <c r="E19" s="1" t="s">
        <v>22</v>
      </c>
      <c r="F19" s="1" t="s">
        <v>23</v>
      </c>
      <c r="I19" s="1" t="s">
        <v>34</v>
      </c>
      <c r="J19" s="1" t="s">
        <v>20</v>
      </c>
      <c r="K19" s="1" t="s">
        <v>21</v>
      </c>
      <c r="L19" s="1" t="s">
        <v>22</v>
      </c>
      <c r="M19" s="1" t="s">
        <v>23</v>
      </c>
    </row>
    <row r="20" spans="2:13" x14ac:dyDescent="0.25">
      <c r="B20" s="2" t="s">
        <v>3</v>
      </c>
      <c r="C20" s="2">
        <v>1294</v>
      </c>
      <c r="D20" s="2">
        <v>1071</v>
      </c>
      <c r="E20" s="2">
        <v>2365</v>
      </c>
      <c r="F20" s="3">
        <v>0.45300000000000001</v>
      </c>
      <c r="I20" s="2" t="s">
        <v>13</v>
      </c>
      <c r="J20" s="2">
        <v>4508</v>
      </c>
      <c r="K20" s="2">
        <v>1393</v>
      </c>
      <c r="L20" s="2">
        <v>5901</v>
      </c>
      <c r="M20" s="3">
        <v>0.23599999999999999</v>
      </c>
    </row>
    <row r="21" spans="2:13" x14ac:dyDescent="0.25">
      <c r="B21" s="4" t="s">
        <v>7</v>
      </c>
      <c r="C21" s="4">
        <v>1304</v>
      </c>
      <c r="D21" s="4">
        <v>308</v>
      </c>
      <c r="E21" s="4">
        <v>1612</v>
      </c>
      <c r="F21" s="5">
        <v>0.191</v>
      </c>
      <c r="I21" s="4" t="s">
        <v>14</v>
      </c>
      <c r="J21" s="4">
        <v>666</v>
      </c>
      <c r="K21" s="4">
        <v>476</v>
      </c>
      <c r="L21" s="4">
        <v>1142</v>
      </c>
      <c r="M21" s="5">
        <v>0.41699999999999998</v>
      </c>
    </row>
    <row r="22" spans="2:13" x14ac:dyDescent="0.25">
      <c r="B22" s="2" t="s">
        <v>35</v>
      </c>
      <c r="C22" s="2">
        <v>1286</v>
      </c>
      <c r="D22" s="2">
        <v>258</v>
      </c>
      <c r="E22" s="2">
        <v>1544</v>
      </c>
      <c r="F22" s="3">
        <v>0.16700000000000001</v>
      </c>
      <c r="I22" s="6" t="s">
        <v>25</v>
      </c>
      <c r="J22" s="6">
        <v>5174</v>
      </c>
      <c r="K22" s="6">
        <v>1869</v>
      </c>
      <c r="L22" s="6">
        <v>7043</v>
      </c>
      <c r="M22" s="7">
        <v>0.26500000000000001</v>
      </c>
    </row>
    <row r="23" spans="2:13" x14ac:dyDescent="0.25">
      <c r="B23" s="4" t="s">
        <v>36</v>
      </c>
      <c r="C23" s="4">
        <v>1290</v>
      </c>
      <c r="D23" s="4">
        <v>232</v>
      </c>
      <c r="E23" s="4">
        <v>1522</v>
      </c>
      <c r="F23" s="5">
        <v>0.152</v>
      </c>
    </row>
    <row r="24" spans="2:13" ht="24" customHeight="1" x14ac:dyDescent="0.25">
      <c r="B24" s="6" t="s">
        <v>25</v>
      </c>
      <c r="C24" s="6">
        <v>5174</v>
      </c>
      <c r="D24" s="6">
        <v>1869</v>
      </c>
      <c r="E24" s="6">
        <v>7043</v>
      </c>
      <c r="F24" s="7">
        <v>0.26500000000000001</v>
      </c>
      <c r="I24" s="79" t="s">
        <v>37</v>
      </c>
      <c r="J24" s="79"/>
      <c r="K24" s="79"/>
      <c r="L24" s="79"/>
      <c r="M24" s="79"/>
    </row>
    <row r="25" spans="2:13" x14ac:dyDescent="0.25">
      <c r="I25" s="1" t="s">
        <v>38</v>
      </c>
      <c r="J25" s="1" t="s">
        <v>20</v>
      </c>
      <c r="K25" s="1" t="s">
        <v>21</v>
      </c>
      <c r="L25" s="1" t="s">
        <v>22</v>
      </c>
      <c r="M25" s="1" t="s">
        <v>23</v>
      </c>
    </row>
    <row r="26" spans="2:13" x14ac:dyDescent="0.25">
      <c r="B26" s="79" t="s">
        <v>41</v>
      </c>
      <c r="C26" s="79"/>
      <c r="D26" s="79"/>
      <c r="E26" s="79"/>
      <c r="I26" s="2" t="s">
        <v>39</v>
      </c>
      <c r="J26" s="2">
        <v>2403</v>
      </c>
      <c r="K26" s="2">
        <v>469</v>
      </c>
      <c r="L26" s="2">
        <v>2872</v>
      </c>
      <c r="M26" s="3">
        <v>0.16300000000000001</v>
      </c>
    </row>
    <row r="27" spans="2:13" x14ac:dyDescent="0.25">
      <c r="B27" s="1" t="s">
        <v>34</v>
      </c>
      <c r="C27" s="1" t="s">
        <v>42</v>
      </c>
      <c r="D27" s="1" t="s">
        <v>43</v>
      </c>
      <c r="E27" s="1" t="s">
        <v>44</v>
      </c>
      <c r="I27" s="4" t="s">
        <v>40</v>
      </c>
      <c r="J27" s="4">
        <v>2771</v>
      </c>
      <c r="K27" s="4">
        <v>1400</v>
      </c>
      <c r="L27" s="4">
        <v>4171</v>
      </c>
      <c r="M27" s="5">
        <v>0.33600000000000002</v>
      </c>
    </row>
    <row r="28" spans="2:13" x14ac:dyDescent="0.25">
      <c r="B28" s="2" t="s">
        <v>45</v>
      </c>
      <c r="C28" s="8">
        <v>74.44</v>
      </c>
      <c r="D28" s="2">
        <v>17.98</v>
      </c>
      <c r="E28" s="8">
        <v>1531.8</v>
      </c>
      <c r="I28" s="6" t="s">
        <v>25</v>
      </c>
      <c r="J28" s="6">
        <v>5174</v>
      </c>
      <c r="K28" s="6">
        <v>1869</v>
      </c>
      <c r="L28" s="6">
        <v>7043</v>
      </c>
      <c r="M28" s="7">
        <v>0.26500000000000001</v>
      </c>
    </row>
    <row r="29" spans="2:13" x14ac:dyDescent="0.25">
      <c r="B29" s="4" t="s">
        <v>46</v>
      </c>
      <c r="C29" s="9">
        <v>61.27</v>
      </c>
      <c r="D29" s="4">
        <v>37.57</v>
      </c>
      <c r="E29" s="9">
        <v>2555.34</v>
      </c>
    </row>
    <row r="30" spans="2:13" ht="24" customHeight="1" x14ac:dyDescent="0.25">
      <c r="B30" s="6" t="s">
        <v>47</v>
      </c>
      <c r="C30" s="10">
        <v>64.760000000000005</v>
      </c>
      <c r="D30" s="6">
        <v>32.369999999999997</v>
      </c>
      <c r="E30" s="10">
        <v>2283.3000000000002</v>
      </c>
      <c r="I30" s="82"/>
      <c r="J30" s="82"/>
      <c r="K30" s="82"/>
      <c r="L30" s="82"/>
    </row>
    <row r="31" spans="2:13" x14ac:dyDescent="0.25">
      <c r="I31" s="46"/>
      <c r="J31" s="46"/>
      <c r="K31" s="46"/>
      <c r="L31" s="46"/>
    </row>
    <row r="32" spans="2:13" x14ac:dyDescent="0.25">
      <c r="I32" s="47"/>
      <c r="J32" s="48"/>
      <c r="K32" s="47"/>
      <c r="L32" s="48"/>
    </row>
    <row r="33" spans="9:12" x14ac:dyDescent="0.25">
      <c r="I33" s="49"/>
      <c r="J33" s="50"/>
      <c r="K33" s="49"/>
      <c r="L33" s="50"/>
    </row>
    <row r="34" spans="9:12" x14ac:dyDescent="0.25">
      <c r="I34" s="51"/>
      <c r="J34" s="52"/>
      <c r="K34" s="51"/>
      <c r="L34" s="52"/>
    </row>
    <row r="35" spans="9:12" x14ac:dyDescent="0.25">
      <c r="I35" s="11"/>
      <c r="J35" s="11"/>
      <c r="K35" s="11"/>
      <c r="L35" s="11"/>
    </row>
  </sheetData>
  <mergeCells count="11">
    <mergeCell ref="I12:M12"/>
    <mergeCell ref="B18:F18"/>
    <mergeCell ref="I18:M18"/>
    <mergeCell ref="I24:M24"/>
    <mergeCell ref="I30:L30"/>
    <mergeCell ref="B26:E26"/>
    <mergeCell ref="B4:F4"/>
    <mergeCell ref="I4:M4"/>
    <mergeCell ref="B11:F11"/>
    <mergeCell ref="B1:M1"/>
    <mergeCell ref="B2:M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DCC0E-CFCE-4E8C-A98B-A0CEF5BBBB2E}">
  <dimension ref="A1:M102"/>
  <sheetViews>
    <sheetView showGridLines="0" zoomScale="111" workbookViewId="0">
      <selection activeCell="G111" sqref="G111"/>
    </sheetView>
  </sheetViews>
  <sheetFormatPr defaultRowHeight="15" x14ac:dyDescent="0.25"/>
  <cols>
    <col min="1" max="1" width="1.42578125" customWidth="1"/>
    <col min="2" max="2" width="17.7109375" bestFit="1" customWidth="1"/>
    <col min="3" max="3" width="16.5703125" bestFit="1" customWidth="1"/>
    <col min="4" max="5" width="14" customWidth="1"/>
    <col min="6" max="6" width="2" customWidth="1"/>
    <col min="7" max="7" width="18" customWidth="1"/>
    <col min="8" max="9" width="14" customWidth="1"/>
    <col min="10" max="10" width="20" customWidth="1"/>
    <col min="11" max="11" width="1.42578125" customWidth="1"/>
  </cols>
  <sheetData>
    <row r="1" spans="1:13" ht="3.95" customHeight="1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</row>
    <row r="2" spans="1:13" ht="43.5" customHeight="1" x14ac:dyDescent="0.25">
      <c r="A2" s="12"/>
      <c r="B2" s="73" t="s">
        <v>54</v>
      </c>
      <c r="C2" s="59"/>
      <c r="D2" s="59"/>
      <c r="E2" s="59"/>
      <c r="F2" s="59"/>
      <c r="G2" s="59"/>
      <c r="H2" s="59"/>
      <c r="I2" s="59"/>
      <c r="J2" s="59"/>
      <c r="K2" s="12"/>
    </row>
    <row r="3" spans="1:13" ht="18" customHeight="1" x14ac:dyDescent="0.25">
      <c r="A3" s="12"/>
      <c r="B3" s="74" t="s">
        <v>55</v>
      </c>
      <c r="C3" s="59"/>
      <c r="D3" s="59"/>
      <c r="E3" s="59"/>
      <c r="F3" s="59"/>
      <c r="G3" s="59"/>
      <c r="H3" s="59"/>
      <c r="I3" s="59"/>
      <c r="J3" s="59"/>
      <c r="K3" s="12"/>
    </row>
    <row r="4" spans="1:13" ht="6" customHeight="1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M4" s="11"/>
    </row>
    <row r="5" spans="1:13" ht="6" customHeight="1" x14ac:dyDescent="0.25"/>
    <row r="6" spans="1:13" ht="6" customHeight="1" x14ac:dyDescent="0.25">
      <c r="B6" s="13"/>
      <c r="C6" s="13"/>
      <c r="D6" s="14"/>
      <c r="E6" s="14"/>
      <c r="G6" s="15"/>
      <c r="H6" s="15"/>
      <c r="I6" s="16"/>
      <c r="J6" s="16"/>
    </row>
    <row r="7" spans="1:13" ht="38.1" customHeight="1" x14ac:dyDescent="0.25">
      <c r="B7" s="75" t="s">
        <v>51</v>
      </c>
      <c r="C7" s="59"/>
      <c r="D7" s="76" t="s">
        <v>52</v>
      </c>
      <c r="E7" s="59"/>
      <c r="G7" s="77" t="s">
        <v>56</v>
      </c>
      <c r="H7" s="59"/>
      <c r="I7" s="78" t="s">
        <v>53</v>
      </c>
      <c r="J7" s="59"/>
    </row>
    <row r="8" spans="1:13" ht="20.100000000000001" customHeight="1" x14ac:dyDescent="0.25">
      <c r="B8" s="65" t="s">
        <v>57</v>
      </c>
      <c r="C8" s="59"/>
      <c r="D8" s="66" t="s">
        <v>58</v>
      </c>
      <c r="E8" s="59"/>
      <c r="G8" s="67" t="s">
        <v>59</v>
      </c>
      <c r="H8" s="59"/>
      <c r="I8" s="68" t="s">
        <v>60</v>
      </c>
      <c r="J8" s="59"/>
    </row>
    <row r="9" spans="1:13" ht="15.95" customHeight="1" x14ac:dyDescent="0.25">
      <c r="B9" s="69" t="s">
        <v>61</v>
      </c>
      <c r="C9" s="59"/>
      <c r="D9" s="70" t="s">
        <v>62</v>
      </c>
      <c r="E9" s="59"/>
      <c r="G9" s="71" t="s">
        <v>63</v>
      </c>
      <c r="H9" s="59"/>
      <c r="I9" s="72" t="s">
        <v>64</v>
      </c>
      <c r="J9" s="59"/>
    </row>
    <row r="10" spans="1:13" ht="9.9499999999999993" customHeight="1" x14ac:dyDescent="0.25">
      <c r="B10" s="61"/>
      <c r="C10" s="59"/>
      <c r="D10" s="62"/>
      <c r="E10" s="59"/>
      <c r="G10" s="63"/>
      <c r="H10" s="59"/>
      <c r="I10" s="64"/>
      <c r="J10" s="59"/>
    </row>
    <row r="11" spans="1:13" ht="6" customHeight="1" x14ac:dyDescent="0.25">
      <c r="B11" s="13"/>
      <c r="C11" s="13"/>
      <c r="D11" s="14"/>
      <c r="E11" s="14"/>
      <c r="G11" s="15"/>
      <c r="H11" s="15"/>
      <c r="I11" s="16"/>
      <c r="J11" s="16"/>
    </row>
    <row r="12" spans="1:13" ht="8.1" customHeight="1" x14ac:dyDescent="0.25"/>
    <row r="13" spans="1:13" ht="20.100000000000001" customHeight="1" x14ac:dyDescent="0.25">
      <c r="B13" s="60" t="s">
        <v>65</v>
      </c>
      <c r="C13" s="59"/>
      <c r="D13" s="59"/>
      <c r="E13" s="59"/>
      <c r="G13" s="60" t="s">
        <v>66</v>
      </c>
      <c r="H13" s="59"/>
      <c r="I13" s="59"/>
      <c r="J13" s="59"/>
    </row>
    <row r="14" spans="1:13" ht="17.100000000000001" customHeight="1" x14ac:dyDescent="0.25">
      <c r="B14" s="23" t="s">
        <v>19</v>
      </c>
      <c r="C14" s="23" t="s">
        <v>20</v>
      </c>
      <c r="D14" s="23" t="s">
        <v>21</v>
      </c>
      <c r="E14" s="23" t="s">
        <v>48</v>
      </c>
      <c r="G14" s="23" t="s">
        <v>27</v>
      </c>
      <c r="H14" s="23" t="s">
        <v>20</v>
      </c>
      <c r="I14" s="23" t="s">
        <v>21</v>
      </c>
      <c r="J14" s="23" t="s">
        <v>48</v>
      </c>
    </row>
    <row r="15" spans="1:13" ht="15" customHeight="1" x14ac:dyDescent="0.25">
      <c r="B15" s="24" t="s">
        <v>2</v>
      </c>
      <c r="C15" s="24">
        <v>2220</v>
      </c>
      <c r="D15" s="24">
        <v>1655</v>
      </c>
      <c r="E15" s="25">
        <v>0.42699999999999999</v>
      </c>
      <c r="G15" s="28" t="s">
        <v>1</v>
      </c>
      <c r="H15" s="28">
        <v>1962</v>
      </c>
      <c r="I15" s="28">
        <v>459</v>
      </c>
      <c r="J15" s="29">
        <v>0.19</v>
      </c>
    </row>
    <row r="16" spans="1:13" ht="15" customHeight="1" x14ac:dyDescent="0.25">
      <c r="B16" s="26" t="s">
        <v>6</v>
      </c>
      <c r="C16" s="26">
        <v>1307</v>
      </c>
      <c r="D16" s="26">
        <v>166</v>
      </c>
      <c r="E16" s="27">
        <v>0.113</v>
      </c>
      <c r="G16" s="30" t="s">
        <v>9</v>
      </c>
      <c r="H16" s="30">
        <v>1799</v>
      </c>
      <c r="I16" s="30">
        <v>1297</v>
      </c>
      <c r="J16" s="31">
        <v>0.41899999999999998</v>
      </c>
    </row>
    <row r="17" spans="2:10" ht="15" customHeight="1" x14ac:dyDescent="0.25">
      <c r="B17" s="24" t="s">
        <v>12</v>
      </c>
      <c r="C17" s="24">
        <v>1647</v>
      </c>
      <c r="D17" s="24">
        <v>48</v>
      </c>
      <c r="E17" s="25">
        <v>2.8000000000000001E-2</v>
      </c>
      <c r="G17" s="28" t="s">
        <v>30</v>
      </c>
      <c r="H17" s="28">
        <v>1413</v>
      </c>
      <c r="I17" s="28">
        <v>113</v>
      </c>
      <c r="J17" s="29">
        <v>7.3999999999999996E-2</v>
      </c>
    </row>
    <row r="18" spans="2:10" ht="8.1" customHeight="1" x14ac:dyDescent="0.25"/>
    <row r="19" spans="2:10" ht="20.100000000000001" customHeight="1" x14ac:dyDescent="0.25">
      <c r="B19" s="60" t="s">
        <v>67</v>
      </c>
      <c r="C19" s="59"/>
      <c r="D19" s="59"/>
      <c r="E19" s="59"/>
      <c r="G19" s="60" t="s">
        <v>68</v>
      </c>
      <c r="H19" s="59"/>
      <c r="I19" s="59"/>
      <c r="J19" s="59"/>
    </row>
    <row r="20" spans="2:10" ht="17.100000000000001" customHeight="1" x14ac:dyDescent="0.25">
      <c r="B20" s="23" t="s">
        <v>33</v>
      </c>
      <c r="C20" s="23" t="s">
        <v>21</v>
      </c>
      <c r="D20" s="32" t="s">
        <v>48</v>
      </c>
      <c r="E20" s="37"/>
      <c r="G20" s="23" t="s">
        <v>24</v>
      </c>
      <c r="H20" s="32" t="s">
        <v>48</v>
      </c>
      <c r="I20" s="17"/>
      <c r="J20" s="18"/>
    </row>
    <row r="21" spans="2:10" ht="15" customHeight="1" x14ac:dyDescent="0.25">
      <c r="B21" s="30" t="s">
        <v>3</v>
      </c>
      <c r="C21" s="30">
        <v>1071</v>
      </c>
      <c r="D21" s="33">
        <v>0.45300000000000001</v>
      </c>
      <c r="E21" s="38"/>
      <c r="G21" s="30" t="s">
        <v>4</v>
      </c>
      <c r="H21" s="33">
        <v>0.47699999999999998</v>
      </c>
      <c r="I21" s="19"/>
      <c r="J21" s="20"/>
    </row>
    <row r="22" spans="2:10" ht="15" customHeight="1" x14ac:dyDescent="0.25">
      <c r="B22" s="28" t="s">
        <v>7</v>
      </c>
      <c r="C22" s="28">
        <v>308</v>
      </c>
      <c r="D22" s="34">
        <v>0.191</v>
      </c>
      <c r="E22" s="38"/>
      <c r="G22" s="28" t="s">
        <v>10</v>
      </c>
      <c r="H22" s="34">
        <v>0.28699999999999998</v>
      </c>
      <c r="I22" s="21"/>
      <c r="J22" s="22"/>
    </row>
    <row r="23" spans="2:10" ht="15" customHeight="1" x14ac:dyDescent="0.25">
      <c r="B23" s="30" t="s">
        <v>49</v>
      </c>
      <c r="C23" s="30">
        <v>258</v>
      </c>
      <c r="D23" s="33">
        <v>0.16700000000000001</v>
      </c>
      <c r="E23" s="38"/>
      <c r="G23" s="30" t="s">
        <v>8</v>
      </c>
      <c r="H23" s="33">
        <v>0.20399999999999999</v>
      </c>
      <c r="I23" s="19"/>
      <c r="J23" s="20"/>
    </row>
    <row r="24" spans="2:10" ht="15" customHeight="1" x14ac:dyDescent="0.25">
      <c r="B24" s="28" t="s">
        <v>50</v>
      </c>
      <c r="C24" s="28">
        <v>232</v>
      </c>
      <c r="D24" s="34">
        <v>0.152</v>
      </c>
      <c r="E24" s="38"/>
      <c r="G24" s="28" t="s">
        <v>11</v>
      </c>
      <c r="H24" s="34">
        <v>9.5000000000000001E-2</v>
      </c>
      <c r="I24" s="21"/>
      <c r="J24" s="22"/>
    </row>
    <row r="26" spans="2:10" ht="8.1" customHeight="1" x14ac:dyDescent="0.25"/>
    <row r="27" spans="2:10" ht="20.100000000000001" customHeight="1" x14ac:dyDescent="0.25">
      <c r="B27" s="60" t="s">
        <v>69</v>
      </c>
      <c r="C27" s="59"/>
      <c r="D27" s="59"/>
      <c r="E27" s="59"/>
      <c r="G27" s="60" t="s">
        <v>70</v>
      </c>
      <c r="H27" s="59"/>
      <c r="I27" s="59"/>
      <c r="J27" s="59"/>
    </row>
    <row r="28" spans="2:10" ht="17.100000000000001" customHeight="1" x14ac:dyDescent="0.25">
      <c r="B28" s="23" t="s">
        <v>34</v>
      </c>
      <c r="C28" s="32" t="s">
        <v>42</v>
      </c>
      <c r="D28" s="37"/>
      <c r="E28" s="35"/>
      <c r="G28" s="23" t="s">
        <v>34</v>
      </c>
      <c r="H28" s="23" t="s">
        <v>20</v>
      </c>
      <c r="I28" s="23" t="s">
        <v>21</v>
      </c>
      <c r="J28" s="23" t="s">
        <v>48</v>
      </c>
    </row>
    <row r="29" spans="2:10" ht="15" customHeight="1" x14ac:dyDescent="0.25">
      <c r="B29" s="30" t="s">
        <v>21</v>
      </c>
      <c r="C29" s="39">
        <v>74.44</v>
      </c>
      <c r="D29" s="38"/>
      <c r="E29" s="36"/>
      <c r="G29" s="24" t="s">
        <v>13</v>
      </c>
      <c r="H29" s="24">
        <v>4508</v>
      </c>
      <c r="I29" s="24">
        <v>1393</v>
      </c>
      <c r="J29" s="25">
        <v>0.23599999999999999</v>
      </c>
    </row>
    <row r="30" spans="2:10" ht="15" customHeight="1" x14ac:dyDescent="0.25">
      <c r="B30" s="28" t="s">
        <v>20</v>
      </c>
      <c r="C30" s="40">
        <v>61.27</v>
      </c>
      <c r="D30" s="38"/>
      <c r="E30" s="36"/>
      <c r="G30" s="26" t="s">
        <v>14</v>
      </c>
      <c r="H30" s="26">
        <v>666</v>
      </c>
      <c r="I30" s="26">
        <v>476</v>
      </c>
      <c r="J30" s="27">
        <v>0.41699999999999998</v>
      </c>
    </row>
    <row r="31" spans="2:10" ht="15" customHeight="1" x14ac:dyDescent="0.25">
      <c r="B31" s="41"/>
      <c r="C31" s="42"/>
      <c r="D31" s="38"/>
      <c r="E31" s="36"/>
      <c r="G31" s="43"/>
      <c r="H31" s="43"/>
      <c r="I31" s="43"/>
      <c r="J31" s="43"/>
    </row>
    <row r="32" spans="2:10" ht="9.9499999999999993" customHeight="1" x14ac:dyDescent="0.25"/>
    <row r="33" spans="2:10" ht="20.100000000000001" customHeight="1" x14ac:dyDescent="0.25">
      <c r="B33" s="60" t="s">
        <v>71</v>
      </c>
      <c r="C33" s="59"/>
      <c r="D33" s="59"/>
      <c r="E33" s="59"/>
      <c r="G33" s="60" t="s">
        <v>72</v>
      </c>
      <c r="H33" s="59"/>
      <c r="I33" s="59"/>
      <c r="J33" s="59"/>
    </row>
    <row r="53" spans="2:10" ht="20.100000000000001" customHeight="1" x14ac:dyDescent="0.25">
      <c r="B53" s="60" t="s">
        <v>73</v>
      </c>
      <c r="C53" s="59"/>
      <c r="D53" s="59"/>
      <c r="E53" s="59"/>
      <c r="G53" s="60" t="s">
        <v>74</v>
      </c>
      <c r="H53" s="59"/>
      <c r="I53" s="59"/>
      <c r="J53" s="59"/>
    </row>
    <row r="73" spans="2:10" ht="20.100000000000001" customHeight="1" x14ac:dyDescent="0.25">
      <c r="B73" s="60" t="s">
        <v>75</v>
      </c>
      <c r="C73" s="59"/>
      <c r="D73" s="59"/>
      <c r="E73" s="59"/>
      <c r="G73" s="60" t="s">
        <v>76</v>
      </c>
      <c r="H73" s="59"/>
      <c r="I73" s="59"/>
      <c r="J73" s="59"/>
    </row>
    <row r="93" spans="2:10" ht="9.9499999999999993" customHeight="1" x14ac:dyDescent="0.25"/>
    <row r="94" spans="2:10" ht="21.95" customHeight="1" x14ac:dyDescent="0.25">
      <c r="B94" s="60" t="s">
        <v>77</v>
      </c>
      <c r="C94" s="59"/>
      <c r="D94" s="59"/>
      <c r="E94" s="59"/>
      <c r="F94" s="59"/>
      <c r="G94" s="59"/>
      <c r="H94" s="59"/>
      <c r="I94" s="59"/>
      <c r="J94" s="59"/>
    </row>
    <row r="95" spans="2:10" ht="20.100000000000001" customHeight="1" x14ac:dyDescent="0.25">
      <c r="B95" s="53" t="s">
        <v>78</v>
      </c>
      <c r="C95" s="54"/>
      <c r="D95" s="55" t="s">
        <v>79</v>
      </c>
      <c r="E95" s="54"/>
      <c r="F95" s="54"/>
      <c r="G95" s="54"/>
      <c r="H95" s="54"/>
      <c r="I95" s="54"/>
      <c r="J95" s="54"/>
    </row>
    <row r="96" spans="2:10" ht="20.100000000000001" customHeight="1" x14ac:dyDescent="0.25">
      <c r="B96" s="56" t="s">
        <v>80</v>
      </c>
      <c r="C96" s="54"/>
      <c r="D96" s="57" t="s">
        <v>81</v>
      </c>
      <c r="E96" s="54"/>
      <c r="F96" s="54"/>
      <c r="G96" s="54"/>
      <c r="H96" s="54"/>
      <c r="I96" s="54"/>
      <c r="J96" s="54"/>
    </row>
    <row r="97" spans="2:10" ht="20.100000000000001" customHeight="1" x14ac:dyDescent="0.25">
      <c r="B97" s="53" t="s">
        <v>82</v>
      </c>
      <c r="C97" s="54"/>
      <c r="D97" s="55" t="s">
        <v>83</v>
      </c>
      <c r="E97" s="54"/>
      <c r="F97" s="54"/>
      <c r="G97" s="54"/>
      <c r="H97" s="54"/>
      <c r="I97" s="54"/>
      <c r="J97" s="54"/>
    </row>
    <row r="98" spans="2:10" ht="20.100000000000001" customHeight="1" x14ac:dyDescent="0.25">
      <c r="B98" s="56" t="s">
        <v>84</v>
      </c>
      <c r="C98" s="54"/>
      <c r="D98" s="57" t="s">
        <v>85</v>
      </c>
      <c r="E98" s="54"/>
      <c r="F98" s="54"/>
      <c r="G98" s="54"/>
      <c r="H98" s="54"/>
      <c r="I98" s="54"/>
      <c r="J98" s="54"/>
    </row>
    <row r="99" spans="2:10" ht="20.100000000000001" customHeight="1" x14ac:dyDescent="0.25">
      <c r="B99" s="53" t="s">
        <v>86</v>
      </c>
      <c r="C99" s="54"/>
      <c r="D99" s="55" t="s">
        <v>87</v>
      </c>
      <c r="E99" s="54"/>
      <c r="F99" s="54"/>
      <c r="G99" s="54"/>
      <c r="H99" s="54"/>
      <c r="I99" s="54"/>
      <c r="J99" s="54"/>
    </row>
    <row r="100" spans="2:10" ht="20.100000000000001" customHeight="1" x14ac:dyDescent="0.25">
      <c r="B100" s="56" t="s">
        <v>88</v>
      </c>
      <c r="C100" s="54"/>
      <c r="D100" s="57" t="s">
        <v>89</v>
      </c>
      <c r="E100" s="54"/>
      <c r="F100" s="54"/>
      <c r="G100" s="54"/>
      <c r="H100" s="54"/>
      <c r="I100" s="54"/>
      <c r="J100" s="54"/>
    </row>
    <row r="102" spans="2:10" ht="15.95" customHeight="1" x14ac:dyDescent="0.25">
      <c r="B102" s="58"/>
      <c r="C102" s="59"/>
      <c r="D102" s="59"/>
      <c r="E102" s="59"/>
      <c r="F102" s="59"/>
      <c r="G102" s="59"/>
      <c r="H102" s="59"/>
      <c r="I102" s="59"/>
      <c r="J102" s="59"/>
    </row>
  </sheetData>
  <mergeCells count="44">
    <mergeCell ref="B2:J2"/>
    <mergeCell ref="B3:J3"/>
    <mergeCell ref="B7:C7"/>
    <mergeCell ref="D7:E7"/>
    <mergeCell ref="G7:H7"/>
    <mergeCell ref="I7:J7"/>
    <mergeCell ref="B8:C8"/>
    <mergeCell ref="D8:E8"/>
    <mergeCell ref="G8:H8"/>
    <mergeCell ref="I8:J8"/>
    <mergeCell ref="B9:C9"/>
    <mergeCell ref="D9:E9"/>
    <mergeCell ref="G9:H9"/>
    <mergeCell ref="I9:J9"/>
    <mergeCell ref="B10:C10"/>
    <mergeCell ref="D10:E10"/>
    <mergeCell ref="G10:H10"/>
    <mergeCell ref="I10:J10"/>
    <mergeCell ref="B13:E13"/>
    <mergeCell ref="G13:J13"/>
    <mergeCell ref="B95:C95"/>
    <mergeCell ref="D95:J95"/>
    <mergeCell ref="B19:E19"/>
    <mergeCell ref="G19:J19"/>
    <mergeCell ref="B27:E27"/>
    <mergeCell ref="G27:J27"/>
    <mergeCell ref="B33:E33"/>
    <mergeCell ref="G33:J33"/>
    <mergeCell ref="B53:E53"/>
    <mergeCell ref="G53:J53"/>
    <mergeCell ref="B73:E73"/>
    <mergeCell ref="G73:J73"/>
    <mergeCell ref="B94:J94"/>
    <mergeCell ref="B96:C96"/>
    <mergeCell ref="D96:J96"/>
    <mergeCell ref="B97:C97"/>
    <mergeCell ref="D97:J97"/>
    <mergeCell ref="B98:C98"/>
    <mergeCell ref="D98:J98"/>
    <mergeCell ref="B99:C99"/>
    <mergeCell ref="D99:J99"/>
    <mergeCell ref="B100:C100"/>
    <mergeCell ref="D100:J100"/>
    <mergeCell ref="B102:J10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AI_PivotTables</vt:lpstr>
      <vt:lpstr>AI_Dashboard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Vighnesh Jadhav</cp:lastModifiedBy>
  <cp:revision>1</cp:revision>
  <dcterms:created xsi:type="dcterms:W3CDTF">2026-04-25T15:24:17Z</dcterms:created>
  <dcterms:modified xsi:type="dcterms:W3CDTF">2026-04-26T16:42:14Z</dcterms:modified>
  <dc:language>en-US</dc:language>
</cp:coreProperties>
</file>